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5609c41e1542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3e15d7b6f5714501"/>
    <x:sheet xmlns:r="http://schemas.openxmlformats.org/officeDocument/2006/relationships" name="Игроки" sheetId="2" r:id="Ra92b57ee03334ba2"/>
    <x:sheet xmlns:r="http://schemas.openxmlformats.org/officeDocument/2006/relationships" name="Полные данные" sheetId="3" r:id="Rb64efddf672340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e990e88107472f" /><Relationship Type="http://schemas.openxmlformats.org/officeDocument/2006/relationships/theme" Target="/xl/theme/theme1.xml" Id="Read45d19db9846bf" /><Relationship Type="http://schemas.openxmlformats.org/officeDocument/2006/relationships/sharedStrings" Target="/xl/sharedStrings.xml" Id="R91ab7b27903f4fce" /><Relationship Type="http://schemas.openxmlformats.org/officeDocument/2006/relationships/worksheet" Target="/xl/worksheets/sheet1.xml" Id="R3e15d7b6f5714501" /><Relationship Type="http://schemas.openxmlformats.org/officeDocument/2006/relationships/worksheet" Target="/xl/worksheets/sheet2.xml" Id="Ra92b57ee03334ba2" /><Relationship Type="http://schemas.openxmlformats.org/officeDocument/2006/relationships/worksheet" Target="/xl/worksheets/sheet3.xml" Id="Rb64efddf672340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Чехов (620928)</x:v>
      </x:c>
      <x:c r="B1" s="2"/>
      <x:c r="C1" s="2"/>
      <x:c r="D1" s="2"/>
      <x:c r="E1" s="2"/>
      <x:c r="F1" s="2"/>
    </x:row>
    <x:row r="2" ht="28" customHeight="1">
      <x:c r="A2" s="2" t="str">
        <x:v>Период: 12.10.2026–18.10.2026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3708.16</x:v>
      </x:c>
    </x:row>
    <x:row r="6" ht="30" customHeight="1">
      <x:c r="A6" s="44" t="str">
        <x:v>Cash-комиссия</x:v>
      </x:c>
      <x:c r="B6" s="13" t="n">
        <x:v>15486.91</x:v>
      </x:c>
    </x:row>
    <x:row r="7" ht="30" customHeight="1">
      <x:c r="A7" s="44" t="str">
        <x:v>MTT-комиссия</x:v>
      </x:c>
      <x:c r="B7" s="13" t="n">
        <x:v>448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15934.91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1953.93</x:v>
      </x:c>
    </x:row>
    <x:row r="12" ht="30" customHeight="1">
      <x:c r="A12" s="44" t="str">
        <x:v>Выплаты джекпота</x:v>
      </x:c>
      <x:c r="B12" s="13" t="n">
        <x:v>19272.09</x:v>
      </x:c>
    </x:row>
    <x:row r="13" ht="30" customHeight="1">
      <x:c r="A13" s="45" t="str">
        <x:v>Profits</x:v>
      </x:c>
      <x:c r="B13" s="14" t="n">
        <x:v>24123.07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11</x:v>
      </x:c>
    </x:row>
    <x:row r="17" ht="30" customHeight="1">
      <x:c r="A17" s="46" t="str">
        <x:v>Раздач</x:v>
      </x:c>
      <x:c r="B17" s="17" t="n">
        <x:v>5027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728253</x:v>
      </x:c>
      <x:c r="B2" s="23" t="str">
        <x:v>Чехов</x:v>
      </x:c>
      <x:c r="C2" s="23"/>
      <x:c r="D2" s="23"/>
      <x:c r="E2" s="24" t="n">
        <x:v>-5450</x:v>
      </x:c>
      <x:c r="F2" s="24" t="n">
        <x:v>4421.77</x:v>
      </x:c>
      <x:c r="G2" s="24" t="n">
        <x:v>100</x:v>
      </x:c>
      <x:c r="H2" s="24" t="n">
        <x:v>0</x:v>
      </x:c>
      <x:c r="I2" s="24" t="n">
        <x:f>SUM(F2:H2)</x:f>
        <x:v>4521.77</x:v>
      </x:c>
      <x:c r="J2" s="24" t="n">
        <x:v>0</x:v>
      </x:c>
      <x:c r="K2" s="24" t="n">
        <x:v>501.38</x:v>
      </x:c>
      <x:c r="L2" s="24" t="n">
        <x:v>0</x:v>
      </x:c>
      <x:c r="M2" s="25" t="n">
        <x:v>776</x:v>
      </x:c>
    </x:row>
    <x:row r="3">
      <x:c r="A3" s="22" t="n">
        <x:v>855712</x:v>
      </x:c>
      <x:c r="B3" s="23" t="str">
        <x:v>Норм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933522</x:v>
      </x:c>
      <x:c r="B4" s="23" t="str">
        <x:v>ФАРТ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538933</x:v>
      </x:c>
      <x:c r="B5" s="23" t="str">
        <x:v>Sergey_S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993198</x:v>
      </x:c>
      <x:c r="B6" s="23" t="str">
        <x:v>NaVolne</x:v>
      </x:c>
      <x:c r="C6" s="23"/>
      <x:c r="D6" s="23"/>
      <x:c r="E6" s="24" t="n">
        <x:v>11471.43</x:v>
      </x:c>
      <x:c r="F6" s="24" t="n">
        <x:v>9337.03</x:v>
      </x:c>
      <x:c r="G6" s="24" t="n">
        <x:v>0</x:v>
      </x:c>
      <x:c r="H6" s="24" t="n">
        <x:v>0</x:v>
      </x:c>
      <x:c r="I6" s="24" t="n">
        <x:f>SUM(F6:H6)</x:f>
        <x:v>9337.03</x:v>
      </x:c>
      <x:c r="J6" s="24" t="n">
        <x:v>0</x:v>
      </x:c>
      <x:c r="K6" s="24" t="n">
        <x:v>1161.25</x:v>
      </x:c>
      <x:c r="L6" s="24" t="n">
        <x:v>19272.09</x:v>
      </x:c>
      <x:c r="M6" s="25" t="n">
        <x:v>3540</x:v>
      </x:c>
    </x:row>
    <x:row r="7">
      <x:c r="A7" s="22" t="n">
        <x:v>333930</x:v>
      </x:c>
      <x:c r="B7" s="23" t="str">
        <x:v>Cherry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356902</x:v>
      </x:c>
      <x:c r="B8" s="23" t="str">
        <x:v>орел77C08</x:v>
      </x:c>
      <x:c r="C8" s="23"/>
      <x:c r="D8" s="23"/>
      <x:c r="E8" s="24" t="n">
        <x:v>48.98</x:v>
      </x:c>
      <x:c r="F8" s="24" t="n">
        <x:v>69.82</x:v>
      </x:c>
      <x:c r="G8" s="24" t="n">
        <x:v>0</x:v>
      </x:c>
      <x:c r="H8" s="24" t="n">
        <x:v>0</x:v>
      </x:c>
      <x:c r="I8" s="24" t="n">
        <x:f>SUM(F8:H8)</x:f>
        <x:v>69.82</x:v>
      </x:c>
      <x:c r="J8" s="24" t="n">
        <x:v>0</x:v>
      </x:c>
      <x:c r="K8" s="24" t="n">
        <x:v>16</x:v>
      </x:c>
      <x:c r="L8" s="24" t="n">
        <x:v>0</x:v>
      </x:c>
      <x:c r="M8" s="25" t="n">
        <x:v>45</x:v>
      </x:c>
    </x:row>
    <x:row r="9">
      <x:c r="A9" s="22" t="n">
        <x:v>491815</x:v>
      </x:c>
      <x:c r="B9" s="23" t="str">
        <x:v>Г҉Р҉О҉М҉</x:v>
      </x:c>
      <x:c r="C9" s="23"/>
      <x:c r="D9" s="23"/>
      <x:c r="E9" s="24" t="n">
        <x:v>-682.25</x:v>
      </x:c>
      <x:c r="F9" s="24" t="n">
        <x:v>1658.29</x:v>
      </x:c>
      <x:c r="G9" s="24" t="n">
        <x:v>348</x:v>
      </x:c>
      <x:c r="H9" s="24" t="n">
        <x:v>0</x:v>
      </x:c>
      <x:c r="I9" s="24" t="n">
        <x:f>SUM(F9:H9)</x:f>
        <x:v>2006.29</x:v>
      </x:c>
      <x:c r="J9" s="24" t="n">
        <x:v>0</x:v>
      </x:c>
      <x:c r="K9" s="24" t="n">
        <x:v>135.3</x:v>
      </x:c>
      <x:c r="L9" s="24" t="n">
        <x:v>0</x:v>
      </x:c>
      <x:c r="M9" s="25" t="n">
        <x:v>666</x:v>
      </x:c>
    </x:row>
    <x:row r="10">
      <x:c r="A10" s="22" t="n">
        <x:v>529275</x:v>
      </x:c>
      <x:c r="B10" s="23" t="str">
        <x:v>RRoyal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845023</x:v>
      </x:c>
      <x:c r="B11" s="23" t="str">
        <x:v>𝐅𝐎𝐗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6" t="n">
        <x:v>982214</x:v>
      </x:c>
      <x:c r="B12" s="27" t="str">
        <x:v>Потанцуем</x:v>
      </x:c>
      <x:c r="C12" s="27"/>
      <x:c r="D12" s="27"/>
      <x:c r="E12" s="28" t="n">
        <x:v>0</x:v>
      </x:c>
      <x:c r="F12" s="28" t="n">
        <x:v>0</x:v>
      </x:c>
      <x:c r="G12" s="28" t="n">
        <x:v>0</x:v>
      </x:c>
      <x:c r="H12" s="28" t="n">
        <x:v>0</x:v>
      </x:c>
      <x:c r="I12" s="28" t="n">
        <x:f>SUM(F12:H12)</x:f>
        <x:v>0</x:v>
      </x:c>
      <x:c r="J12" s="28" t="n">
        <x:v>0</x:v>
      </x:c>
      <x:c r="K12" s="28" t="n">
        <x:v>0</x:v>
      </x:c>
      <x:c r="L12" s="28" t="n">
        <x:v>0</x:v>
      </x:c>
      <x:c r="M12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620928</x:v>
      </x:c>
      <x:c r="B2" t="str">
        <x:v>Чехов</x:v>
      </x:c>
      <x:c r="C2" t="n">
        <x:v>728253</x:v>
      </x:c>
      <x:c r="D2" t="str">
        <x:v>Creator</x:v>
      </x:c>
      <x:c r="E2" t="str">
        <x:v>Чехов</x:v>
      </x:c>
      <x:c r="F2"/>
      <x:c r="G2"/>
      <x:c r="H2"/>
      <x:c r="I2"/>
      <x:c r="J2" t="n">
        <x:v>-5450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-4450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-1000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4421.77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4421.77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100</x:v>
      </x:c>
      <x:c r="AT2" t="n">
        <x:v>100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501.38</x:v>
      </x:c>
      <x:c r="BI2" t="n">
        <x:v>0</x:v>
      </x:c>
      <x:c r="BJ2" t="n">
        <x:v>776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739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37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11000</x:v>
      </x:c>
      <x:c r="CF2" t="n">
        <x:v>-16000</x:v>
      </x:c>
      <x:c r="CG2" t="n">
        <x:v>0</x:v>
      </x:c>
      <x:c r="CH2" t="n">
        <x:v>0</x:v>
      </x:c>
    </x:row>
    <x:row r="3">
      <x:c r="A3" t="n">
        <x:v>620928</x:v>
      </x:c>
      <x:c r="B3" t="str">
        <x:v>Чехов</x:v>
      </x:c>
      <x:c r="C3" t="n">
        <x:v>855712</x:v>
      </x:c>
      <x:c r="D3" t="str">
        <x:v>Manager</x:v>
      </x:c>
      <x:c r="E3" t="str">
        <x:v>Норм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620928</x:v>
      </x:c>
      <x:c r="B4" t="str">
        <x:v>Чехов</x:v>
      </x:c>
      <x:c r="C4" t="n">
        <x:v>933522</x:v>
      </x:c>
      <x:c r="D4" t="str">
        <x:v>Manager</x:v>
      </x:c>
      <x:c r="E4" t="str">
        <x:v>ФАРТ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7000</x:v>
      </x:c>
      <x:c r="CF4" t="n">
        <x:v>0</x:v>
      </x:c>
      <x:c r="CG4" t="n">
        <x:v>0</x:v>
      </x:c>
      <x:c r="CH4" t="n">
        <x:v>0</x:v>
      </x:c>
    </x:row>
    <x:row r="5">
      <x:c r="A5" t="n">
        <x:v>620928</x:v>
      </x:c>
      <x:c r="B5" t="str">
        <x:v>Чехов</x:v>
      </x:c>
      <x:c r="C5" t="n">
        <x:v>538933</x:v>
      </x:c>
      <x:c r="D5" t="str">
        <x:v>Agent</x:v>
      </x:c>
      <x:c r="E5" t="str">
        <x:v>Sergey_S</x:v>
      </x:c>
      <x:c r="F5" t="str">
        <x:v>50%</x:v>
      </x:c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620928</x:v>
      </x:c>
      <x:c r="B6" t="str">
        <x:v>Чехов</x:v>
      </x:c>
      <x:c r="C6" t="n">
        <x:v>993198</x:v>
      </x:c>
      <x:c r="D6" t="str">
        <x:v>Agent</x:v>
      </x:c>
      <x:c r="E6" t="str">
        <x:v>NaVolne</x:v>
      </x:c>
      <x:c r="F6"/>
      <x:c r="G6"/>
      <x:c r="H6"/>
      <x:c r="I6"/>
      <x:c r="J6" t="n">
        <x:v>11471.43</x:v>
      </x:c>
      <x:c r="K6" t="n">
        <x:v>0</x:v>
      </x:c>
      <x:c r="L6" t="n">
        <x:v>0</x:v>
      </x:c>
      <x:c r="M6" t="n">
        <x:v>2845.33</x:v>
      </x:c>
      <x:c r="N6" t="n">
        <x:v>0</x:v>
      </x:c>
      <x:c r="O6" t="n">
        <x:v>-29</x:v>
      </x:c>
      <x:c r="P6" t="n">
        <x:v>-32.63</x:v>
      </x:c>
      <x:c r="Q6" t="n">
        <x:v>8687.73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9337.03</x:v>
      </x:c>
      <x:c r="AF6" t="n">
        <x:v>0</x:v>
      </x:c>
      <x:c r="AG6" t="n">
        <x:v>0</x:v>
      </x:c>
      <x:c r="AH6" t="n">
        <x:v>4347.21</x:v>
      </x:c>
      <x:c r="AI6" t="n">
        <x:v>0</x:v>
      </x:c>
      <x:c r="AJ6" t="n">
        <x:v>4.17</x:v>
      </x:c>
      <x:c r="AK6" t="n">
        <x:v>271.2</x:v>
      </x:c>
      <x:c r="AL6" t="n">
        <x:v>4714.45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1161.25</x:v>
      </x:c>
      <x:c r="BI6" t="n">
        <x:v>19272.09</x:v>
      </x:c>
      <x:c r="BJ6" t="n">
        <x:v>3540</x:v>
      </x:c>
      <x:c r="BK6" t="n">
        <x:v>0</x:v>
      </x:c>
      <x:c r="BL6" t="n">
        <x:v>0</x:v>
      </x:c>
      <x:c r="BM6" t="n">
        <x:v>1778</x:v>
      </x:c>
      <x:c r="BN6" t="n">
        <x:v>0</x:v>
      </x:c>
      <x:c r="BO6" t="n">
        <x:v>5</x:v>
      </x:c>
      <x:c r="BP6" t="n">
        <x:v>164</x:v>
      </x:c>
      <x:c r="BQ6" t="n">
        <x:v>1593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620928</x:v>
      </x:c>
      <x:c r="B7" t="str">
        <x:v>Чехов</x:v>
      </x:c>
      <x:c r="C7" t="n">
        <x:v>333930</x:v>
      </x:c>
      <x:c r="D7" t="str">
        <x:v>Member</x:v>
      </x:c>
      <x:c r="E7" t="str">
        <x:v>Cherry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620928</x:v>
      </x:c>
      <x:c r="B8" t="str">
        <x:v>Чехов</x:v>
      </x:c>
      <x:c r="C8" t="n">
        <x:v>356902</x:v>
      </x:c>
      <x:c r="D8" t="str">
        <x:v>Member</x:v>
      </x:c>
      <x:c r="E8" t="str">
        <x:v>орел77C08</x:v>
      </x:c>
      <x:c r="F8"/>
      <x:c r="G8"/>
      <x:c r="H8"/>
      <x:c r="I8"/>
      <x:c r="J8" t="n">
        <x:v>48.98</x:v>
      </x:c>
      <x:c r="K8" t="n">
        <x:v>0</x:v>
      </x:c>
      <x:c r="L8" t="n">
        <x:v>0</x:v>
      </x:c>
      <x:c r="M8" t="n">
        <x:v>48.98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69.82</x:v>
      </x:c>
      <x:c r="AF8" t="n">
        <x:v>0</x:v>
      </x:c>
      <x:c r="AG8" t="n">
        <x:v>0</x:v>
      </x:c>
      <x:c r="AH8" t="n">
        <x:v>69.82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16</x:v>
      </x:c>
      <x:c r="BI8" t="n">
        <x:v>0</x:v>
      </x:c>
      <x:c r="BJ8" t="n">
        <x:v>45</x:v>
      </x:c>
      <x:c r="BK8" t="n">
        <x:v>0</x:v>
      </x:c>
      <x:c r="BL8" t="n">
        <x:v>0</x:v>
      </x:c>
      <x:c r="BM8" t="n">
        <x:v>45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620928</x:v>
      </x:c>
      <x:c r="B9" t="str">
        <x:v>Чехов</x:v>
      </x:c>
      <x:c r="C9" t="n">
        <x:v>491815</x:v>
      </x:c>
      <x:c r="D9" t="str">
        <x:v>Member</x:v>
      </x:c>
      <x:c r="E9" t="str">
        <x:v>Г҉Р҉О҉М҉</x:v>
      </x:c>
      <x:c r="F9" t="str">
        <x:v>50%</x:v>
      </x:c>
      <x:c r="G9"/>
      <x:c r="H9"/>
      <x:c r="I9"/>
      <x:c r="J9" t="n">
        <x:v>-682.25</x:v>
      </x:c>
      <x:c r="K9" t="n">
        <x:v>0</x:v>
      </x:c>
      <x:c r="L9" t="n">
        <x:v>0</x:v>
      </x:c>
      <x:c r="M9" t="n">
        <x:v>-600</x:v>
      </x:c>
      <x:c r="N9" t="n">
        <x:v>0</x:v>
      </x:c>
      <x:c r="O9" t="n">
        <x:v>0</x:v>
      </x:c>
      <x:c r="P9" t="n">
        <x:v>361.01</x:v>
      </x:c>
      <x:c r="Q9" t="n">
        <x:v>1585.65</x:v>
      </x:c>
      <x:c r="R9" t="n">
        <x:v>-348.91</x:v>
      </x:c>
      <x:c r="S9" t="n">
        <x:v>120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-1800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1658.29</x:v>
      </x:c>
      <x:c r="AF9" t="n">
        <x:v>0</x:v>
      </x:c>
      <x:c r="AG9" t="n">
        <x:v>0</x:v>
      </x:c>
      <x:c r="AH9" t="n">
        <x:v>86.01</x:v>
      </x:c>
      <x:c r="AI9" t="n">
        <x:v>0</x:v>
      </x:c>
      <x:c r="AJ9" t="n">
        <x:v>0</x:v>
      </x:c>
      <x:c r="AK9" t="n">
        <x:v>649.12</x:v>
      </x:c>
      <x:c r="AL9" t="n">
        <x:v>562.25</x:v>
      </x:c>
      <x:c r="AM9" t="n">
        <x:v>195.91</x:v>
      </x:c>
      <x:c r="AN9" t="n">
        <x:v>165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348</x:v>
      </x:c>
      <x:c r="AT9" t="n">
        <x:v>180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135.3</x:v>
      </x:c>
      <x:c r="BI9" t="n">
        <x:v>0</x:v>
      </x:c>
      <x:c r="BJ9" t="n">
        <x:v>666</x:v>
      </x:c>
      <x:c r="BK9" t="n">
        <x:v>0</x:v>
      </x:c>
      <x:c r="BL9" t="n">
        <x:v>0</x:v>
      </x:c>
      <x:c r="BM9" t="n">
        <x:v>17</x:v>
      </x:c>
      <x:c r="BN9" t="n">
        <x:v>0</x:v>
      </x:c>
      <x:c r="BO9" t="n">
        <x:v>0</x:v>
      </x:c>
      <x:c r="BP9" t="n">
        <x:v>123</x:v>
      </x:c>
      <x:c r="BQ9" t="n">
        <x:v>93</x:v>
      </x:c>
      <x:c r="BR9" t="n">
        <x:v>90</x:v>
      </x:c>
      <x:c r="BS9" t="n">
        <x:v>14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329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620928</x:v>
      </x:c>
      <x:c r="B10" t="str">
        <x:v>Чехов</x:v>
      </x:c>
      <x:c r="C10" t="n">
        <x:v>529275</x:v>
      </x:c>
      <x:c r="D10" t="str">
        <x:v>Member</x:v>
      </x:c>
      <x:c r="E10" t="str">
        <x:v>RRoyal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620928</x:v>
      </x:c>
      <x:c r="B11" t="str">
        <x:v>Чехов</x:v>
      </x:c>
      <x:c r="C11" t="n">
        <x:v>845023</x:v>
      </x:c>
      <x:c r="D11" t="str">
        <x:v>Member</x:v>
      </x:c>
      <x:c r="E11" t="str">
        <x:v>𝐅𝐎𝐗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620928</x:v>
      </x:c>
      <x:c r="B12" t="str">
        <x:v>Чехов</x:v>
      </x:c>
      <x:c r="C12" t="n">
        <x:v>982214</x:v>
      </x:c>
      <x:c r="D12" t="str">
        <x:v>Member</x:v>
      </x:c>
      <x:c r="E12" t="str">
        <x:v>Потанцуем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</x:sheetData>
  <x:pageMargins left="0.7" right="0.7" top="0.75" bottom="0.75" header="0.3" footer="0.3"/>
</x:worksheet>
</file>