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70e1b3179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38af48e2f3f49b5"/>
    <x:sheet xmlns:r="http://schemas.openxmlformats.org/officeDocument/2006/relationships" name="Игроки" sheetId="2" r:id="Rd98ad19e932441d5"/>
    <x:sheet xmlns:r="http://schemas.openxmlformats.org/officeDocument/2006/relationships" name="Полные данные" sheetId="3" r:id="Rcecdd65c3224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07d89c69e4eb0" /><Relationship Type="http://schemas.openxmlformats.org/officeDocument/2006/relationships/theme" Target="/xl/theme/theme1.xml" Id="R8723d8f543514e0a" /><Relationship Type="http://schemas.openxmlformats.org/officeDocument/2006/relationships/sharedStrings" Target="/xl/sharedStrings.xml" Id="R25699cee975e4885" /><Relationship Type="http://schemas.openxmlformats.org/officeDocument/2006/relationships/worksheet" Target="/xl/worksheets/sheet1.xml" Id="R438af48e2f3f49b5" /><Relationship Type="http://schemas.openxmlformats.org/officeDocument/2006/relationships/worksheet" Target="/xl/worksheets/sheet2.xml" Id="Rd98ad19e932441d5" /><Relationship Type="http://schemas.openxmlformats.org/officeDocument/2006/relationships/worksheet" Target="/xl/worksheets/sheet3.xml" Id="Rcecdd65c322442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-11818.77</x:v>
      </x:c>
    </x:row>
    <x:row r="6">
      <x:c r="A6" s="8" t="str">
        <x:v>Cash-комиссия</x:v>
      </x:c>
      <x:c r="B6" s="13" t="n">
        <x:v>3729.52</x:v>
      </x:c>
    </x:row>
    <x:row r="7">
      <x:c r="A7" s="8" t="str">
        <x:v>MTT-комиссия</x:v>
      </x:c>
      <x:c r="B7" s="13" t="n">
        <x:v>890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4619.52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897.81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-9133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5</x:v>
      </x:c>
    </x:row>
    <x:row r="17">
      <x:c r="A17" t="str">
        <x:v>Раздач</x:v>
      </x:c>
      <x:c r="B17" s="17" t="n">
        <x:v>693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-13752.52</x:v>
      </x:c>
      <x:c r="F2" s="24" t="n">
        <x:v>3729.52</x:v>
      </x:c>
      <x:c r="G2" s="24" t="n">
        <x:v>0</x:v>
      </x:c>
      <x:c r="H2" s="24" t="n">
        <x:v>0</x:v>
      </x:c>
      <x:c r="I2" s="24" t="n">
        <x:f>SUM(F2:H2)</x:f>
        <x:v>3729.52</x:v>
      </x:c>
      <x:c r="J2" s="24" t="n">
        <x:v>0</x:v>
      </x:c>
      <x:c r="K2" s="24" t="n">
        <x:v>452.81</x:v>
      </x:c>
      <x:c r="L2" s="24" t="n">
        <x:v>0</x:v>
      </x:c>
      <x:c r="M2" s="25" t="n">
        <x:v>300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592589</x:v>
      </x:c>
      <x:c r="B4" s="23" t="str">
        <x:v>Тракторист</x:v>
      </x:c>
      <x:c r="C4" s="23"/>
      <x:c r="D4" s="23"/>
      <x:c r="E4" s="24" t="n">
        <x:v>1933.75</x:v>
      </x:c>
      <x:c r="F4" s="24" t="n">
        <x:v>0</x:v>
      </x:c>
      <x:c r="G4" s="24" t="n">
        <x:v>890</x:v>
      </x:c>
      <x:c r="H4" s="24" t="n">
        <x:v>0</x:v>
      </x:c>
      <x:c r="I4" s="24" t="n">
        <x:f>SUM(F4:H4)</x:f>
        <x:v>890</x:v>
      </x:c>
      <x:c r="J4" s="24" t="n">
        <x:v>0</x:v>
      </x:c>
      <x:c r="K4" s="24" t="n">
        <x:v>0</x:v>
      </x:c>
      <x:c r="L4" s="24" t="n">
        <x:v>0</x:v>
      </x:c>
      <x:c r="M4" s="25" t="n">
        <x:v>393</x:v>
      </x:c>
    </x:row>
    <x:row r="5">
      <x:c r="A5" s="22" t="n">
        <x:v>386415</x:v>
      </x:c>
      <x:c r="B5" s="23" t="str">
        <x:v>PlayerC94D08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6" t="n">
        <x:v>822312</x:v>
      </x:c>
      <x:c r="B6" s="27" t="str">
        <x:v>Rubin19</x:v>
      </x:c>
      <x:c r="C6" s="27"/>
      <x:c r="D6" s="27"/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f>SUM(F6:H6)</x:f>
        <x:v>0</x:v>
      </x:c>
      <x:c r="J6" s="28" t="n">
        <x:v>0</x:v>
      </x:c>
      <x:c r="K6" s="28" t="n">
        <x:v>0</x:v>
      </x:c>
      <x:c r="L6" s="28" t="n">
        <x:v>0</x:v>
      </x:c>
      <x:c r="M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-13752.52</x:v>
      </x:c>
      <x:c r="K2" t="n">
        <x:v>0</x:v>
      </x:c>
      <x:c r="L2" t="n">
        <x:v>0</x:v>
      </x:c>
      <x:c r="M2" t="n">
        <x:v>929.38</x:v>
      </x:c>
      <x:c r="N2" t="n">
        <x:v>0</x:v>
      </x:c>
      <x:c r="O2" t="n">
        <x:v>0</x:v>
      </x:c>
      <x:c r="P2" t="n">
        <x:v>-5000</x:v>
      </x:c>
      <x:c r="Q2" t="n">
        <x:v>-9681.9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3729.52</x:v>
      </x:c>
      <x:c r="AF2" t="n">
        <x:v>0</x:v>
      </x:c>
      <x:c r="AG2" t="n">
        <x:v>0</x:v>
      </x:c>
      <x:c r="AH2" t="n">
        <x:v>190.77</x:v>
      </x:c>
      <x:c r="AI2" t="n">
        <x:v>0</x:v>
      </x:c>
      <x:c r="AJ2" t="n">
        <x:v>0</x:v>
      </x:c>
      <x:c r="AK2" t="n">
        <x:v>188.53</x:v>
      </x:c>
      <x:c r="AL2" t="n">
        <x:v>3350.22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452.81</x:v>
      </x:c>
      <x:c r="BI2" t="n">
        <x:v>0</x:v>
      </x:c>
      <x:c r="BJ2" t="n">
        <x:v>300</x:v>
      </x:c>
      <x:c r="BK2" t="n">
        <x:v>0</x:v>
      </x:c>
      <x:c r="BL2" t="n">
        <x:v>0</x:v>
      </x:c>
      <x:c r="BM2" t="n">
        <x:v>70</x:v>
      </x:c>
      <x:c r="BN2" t="n">
        <x:v>0</x:v>
      </x:c>
      <x:c r="BO2" t="n">
        <x:v>0</x:v>
      </x:c>
      <x:c r="BP2" t="n">
        <x:v>5</x:v>
      </x:c>
      <x:c r="BQ2" t="n">
        <x:v>225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800</x:v>
      </x:c>
      <x:c r="CF2" t="n">
        <x:v>-800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1933.75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1933.75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890</x:v>
      </x:c>
      <x:c r="AT4" t="n">
        <x:v>890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393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393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795520</x:v>
      </x:c>
      <x:c r="B5" t="str">
        <x:v>Джентельмены</x:v>
      </x:c>
      <x:c r="C5" t="n">
        <x:v>386415</x:v>
      </x:c>
      <x:c r="D5" t="str">
        <x:v>Member</x:v>
      </x:c>
      <x:c r="E5" t="str">
        <x:v>PlayerC94D08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795520</x:v>
      </x:c>
      <x:c r="B6" t="str">
        <x:v>Джентельмены</x:v>
      </x:c>
      <x:c r="C6" t="n">
        <x:v>822312</x:v>
      </x:c>
      <x:c r="D6" t="str">
        <x:v>Member</x:v>
      </x:c>
      <x:c r="E6" t="str">
        <x:v>Rubin19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