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38ff5b7f9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ет" sheetId="1" r:id="Rd7a0837ad6ab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;-"/>
    <x:numFmt numFmtId="201" formatCode="#,##0.00 &quot;₽&quot;;[Red]-#,##0.00 &quot;₽&quot;;-"/>
  </x:numFmts>
  <x:fonts count="4">
    <x:font>
      <x:sz val="11"/>
      <x:name val="Carlito"/>
    </x:font>
    <x:font>
      <x:sz val="15"/>
      <x:color rgb="FF111111"/>
      <x:name val="Arial"/>
    </x:font>
    <x:font>
      <x:b/>
      <x:sz val="16"/>
      <x:color rgb="FF111111"/>
      <x:name val="Arial"/>
    </x:font>
    <x:font>
      <x:b/>
      <x:sz val="15"/>
      <x:color rgb="FF1111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94B2D4"/>
      </x:patternFill>
    </x:fill>
    <x:fill>
      <x:patternFill patternType="solid">
        <x:fgColor rgb="FFDCE6F2"/>
      </x:patternFill>
    </x:fill>
    <x:fill>
      <x:patternFill patternType="solid">
        <x:fgColor rgb="FFF1F1F1"/>
      </x:patternFill>
    </x:fill>
    <x:fill>
      <x:patternFill patternType="solid">
        <x:fgColor rgb="FFD9D9D9"/>
      </x:patternFill>
    </x:fill>
    <x:fill>
      <x:patternFill patternType="solid">
        <x:fgColor rgb="FFF8D6B4"/>
      </x:patternFill>
    </x:fill>
  </x:fills>
  <x:borders count="5">
    <x:border/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D4D4D4"/>
      </x:left>
      <x:right style="thin">
        <x:color rgb="FFD4D4D4"/>
      </x:right>
      <x:top style="thin">
        <x:color rgb="FFD4D4D4"/>
      </x:top>
      <x:bottom style="thin">
        <x:color rgb="FFD4D4D4"/>
      </x:bottom>
    </x:border>
    <x:border>
      <x:left style="thin">
        <x:color rgb="FFD4D4D4"/>
      </x:left>
      <x:right style="thin">
        <x:color rgb="FFD4D4D4"/>
      </x:right>
      <x:top style="thick">
        <x:color rgb="FF111111"/>
      </x:top>
      <x:bottom style="thin">
        <x:color rgb="FFD4D4D4"/>
      </x:bottom>
    </x:border>
    <x:border>
      <x:top style="thin">
        <x:color rgb="FFD4D4D4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3" fillId="6" borderId="4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3" fillId="6" borderId="4" xfId="0" applyNumberFormat="1" applyFont="1" applyFill="1" applyBorder="1" applyAlignment="1">
      <x:alignment horizontal="right" vertical="center"/>
    </x:xf>
    <x:xf numFmtId="201" fontId="3" fillId="6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42fcc28094a1c" /><Relationship Type="http://schemas.openxmlformats.org/officeDocument/2006/relationships/theme" Target="/xl/theme/theme1.xml" Id="Rbbe022aa118848fa" /><Relationship Type="http://schemas.openxmlformats.org/officeDocument/2006/relationships/sharedStrings" Target="/xl/sharedStrings.xml" Id="Rc7f1d228f2d44120" /><Relationship Type="http://schemas.openxmlformats.org/officeDocument/2006/relationships/worksheet" Target="/xl/worksheets/sheet1.xml" Id="Rd7a0837ad6ab42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560001373291016" hidden="0" customWidth="1"/>
    <x:col min="2" max="2" width="24.440000534057617" hidden="0" customWidth="1"/>
  </x:cols>
  <x:sheetData>
    <x:row r="1" ht="23.25" customHeight="1">
      <x:c r="A1" s="5" t="str">
        <x:v>Union Anti-Reg</x:v>
      </x:c>
      <x:c r="B1" s="5"/>
    </x:row>
    <x:row r="2" ht="13.5" customHeight="1">
      <x:c r="A2" s="2"/>
      <x:c r="B2" s="2"/>
    </x:row>
    <x:row r="3" ht="23.25" customHeight="1">
      <x:c r="A3" s="8" t="str">
        <x:v>Клуб</x:v>
      </x:c>
      <x:c r="B3" s="8" t="str">
        <x:v>Два Туза</x:v>
      </x:c>
    </x:row>
    <x:row r="4" ht="23.25" customHeight="1">
      <x:c r="A4" s="8" t="str">
        <x:v>Расчёт</x:v>
      </x:c>
      <x:c r="B4" s="8" t="str">
        <x:v>758417</x:v>
      </x:c>
    </x:row>
    <x:row r="5" ht="23.25" customHeight="1">
      <x:c r="A5" s="6" t="str">
        <x:v>27.07.2026 - 02.08.2026</x:v>
      </x:c>
      <x:c r="B5" s="6"/>
    </x:row>
    <x:row r="6" ht="16.5" customHeight="1">
      <x:c r="A6" s="2"/>
      <x:c r="B6" s="2"/>
    </x:row>
    <x:row r="7" ht="23.25" customHeight="1">
      <x:c r="A7" s="9" t="str">
        <x:v>Выигрыш игроков</x:v>
      </x:c>
      <x:c r="B7" s="26" t="n">
        <x:v>-384824.24</x:v>
      </x:c>
    </x:row>
    <x:row r="8" ht="23.25" customHeight="1">
      <x:c r="A8" s="9" t="str">
        <x:v>Комиссия</x:v>
      </x:c>
      <x:c r="B8" s="26" t="n">
        <x:v>518455.97</x:v>
      </x:c>
    </x:row>
    <x:row r="9" ht="23.25" customHeight="1">
      <x:c r="A9" s="9" t="str">
        <x:v>Комиссия MTT</x:v>
      </x:c>
      <x:c r="B9" s="26"/>
    </x:row>
    <x:row r="10" ht="23.25" customHeight="1">
      <x:c r="A10" s="9" t="str">
        <x:v>Страховка</x:v>
      </x:c>
      <x:c r="B10" s="26"/>
    </x:row>
    <x:row r="11" ht="23.25" customHeight="1">
      <x:c r="A11" s="11" t="str">
        <x:v>Баланс (приложение)</x:v>
      </x:c>
      <x:c r="B11" s="27" t="n">
        <x:f>ROUND(SUM(B7:B10),2)</x:f>
        <x:v>133631.73</x:v>
      </x:c>
    </x:row>
    <x:row r="12" ht="19.5" customHeight="1">
      <x:c r="A12" s="2"/>
      <x:c r="B12" s="28"/>
    </x:row>
    <x:row r="13" ht="23.25" customHeight="1">
      <x:c r="A13" s="12" t="str">
        <x:v>Штрафы мошенников</x:v>
      </x:c>
      <x:c r="B13" s="29"/>
    </x:row>
    <x:row r="14" ht="23.25" customHeight="1">
      <x:c r="A14" s="12" t="str">
        <x:v>Overly</x:v>
      </x:c>
      <x:c r="B14" s="29"/>
    </x:row>
    <x:row r="15" ht="23.25" customHeight="1">
      <x:c r="A15" s="12" t="str">
        <x:v>ЗП</x:v>
      </x:c>
      <x:c r="B15" s="29" t="n">
        <x:v>-1500</x:v>
      </x:c>
    </x:row>
    <x:row r="16" ht="19.5" customHeight="1">
      <x:c r="A16" s="2"/>
      <x:c r="B16" s="28"/>
    </x:row>
    <x:row r="17" ht="23.25" customHeight="1">
      <x:c r="A17" s="14" t="str">
        <x:v>Баланс итог</x:v>
      </x:c>
      <x:c r="B17" s="30" t="n">
        <x:f>ROUND(SUM(B11,B13:B15),2)</x:f>
        <x:v>132131.73</x:v>
      </x:c>
    </x:row>
    <x:row r="18" ht="19.5" customHeight="1">
      <x:c r="A18" s="2"/>
      <x:c r="B18" s="28"/>
    </x:row>
    <x:row r="19" ht="23.25" customHeight="1">
      <x:c r="A19" s="15" t="str">
        <x:v>Акция</x:v>
      </x:c>
      <x:c r="B19" s="31"/>
    </x:row>
    <x:row r="20" ht="23.25" customHeight="1">
      <x:c r="A20" s="12" t="str">
        <x:v>Возврат</x:v>
      </x:c>
      <x:c r="B20" s="29"/>
    </x:row>
    <x:row r="21" ht="23.25" customHeight="1">
      <x:c r="A21" s="12" t="str">
        <x:v>Единый платёж за обслуживание 8%</x:v>
      </x:c>
      <x:c r="B21" s="29" t="n">
        <x:f>ROUND(-B8*8%,2)</x:f>
        <x:v>-41476.48</x:v>
      </x:c>
    </x:row>
    <x:row r="22" ht="23.25" customHeight="1">
      <x:c r="A22" s="12" t="str">
        <x:v>Джекпот</x:v>
      </x:c>
      <x:c r="B22" s="29"/>
    </x:row>
    <x:row r="23" ht="23.25" customHeight="1">
      <x:c r="A23" s="12" t="str">
        <x:v>РБ МТТ</x:v>
      </x:c>
      <x:c r="B23" s="29" t="n">
        <x:v>0</x:v>
      </x:c>
    </x:row>
    <x:row r="24" ht="23.25" customHeight="1">
      <x:c r="A24" s="12" t="str">
        <x:v>Оверлей</x:v>
      </x:c>
      <x:c r="B24" s="29"/>
    </x:row>
    <x:row r="25" ht="21" customHeight="1">
      <x:c r="A25" s="2"/>
      <x:c r="B25" s="28"/>
    </x:row>
    <x:row r="26" ht="23.25" customHeight="1">
      <x:c r="A26" s="18" t="str">
        <x:v>Итого к расчёту</x:v>
      </x:c>
      <x:c r="B26" s="33" t="n">
        <x:f>ROUND(SUM(B17,B19:B24),2)</x:f>
        <x:v>90655.25</x:v>
      </x:c>
    </x:row>
  </x:sheetData>
  <x:mergeCells>
    <x:mergeCell ref="A1:B1"/>
    <x:mergeCell ref="A5:B5"/>
  </x:mergeCells>
  <x:pageMargins left="0.7" right="0.7" top="0.75" bottom="0.75" header="0.3" footer="0.3"/>
</x:worksheet>
</file>