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17058d6a2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тчёт" sheetId="1" r:id="Rc8e78a663a304411"/>
    <x:sheet xmlns:r="http://schemas.openxmlformats.org/officeDocument/2006/relationships" name="По играм" sheetId="2" r:id="R8562e4a62583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7"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2" fillId="5" borderId="6" xfId="0" applyNumberFormat="1" applyFont="1" applyFill="1" applyBorder="1"/>
    <x:xf numFmtId="201" fontId="0" fillId="0" borderId="4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14e0ab0d74bdb" /><Relationship Type="http://schemas.openxmlformats.org/officeDocument/2006/relationships/theme" Target="/xl/theme/theme1.xml" Id="R0bcb1ea7d77247dd" /><Relationship Type="http://schemas.openxmlformats.org/officeDocument/2006/relationships/sharedStrings" Target="/xl/sharedStrings.xml" Id="R4a6c34e3989944df" /><Relationship Type="http://schemas.openxmlformats.org/officeDocument/2006/relationships/worksheet" Target="/xl/worksheets/sheet1.xml" Id="Rc8e78a663a304411" /><Relationship Type="http://schemas.openxmlformats.org/officeDocument/2006/relationships/worksheet" Target="/xl/worksheets/sheet2.xml" Id="R8562e4a6258347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</x:cols>
  <x:sheetData>
    <x:row r="1" ht="28" customHeight="1">
      <x:c r="A1" s="3" t="str">
        <x:v>Отчёт клуба «Два Туза»</x:v>
      </x:c>
      <x:c r="B1" s="3"/>
    </x:row>
    <x:row r="2" ht="28" customHeight="1">
      <x:c r="A2" s="6" t="str">
        <x:v>Период: 13.07.2026–19.07.2026</x:v>
      </x:c>
      <x:c r="B2" s="6"/>
    </x:row>
    <x:row r="4">
      <x:c r="A4" s="8" t="str">
        <x:v>Показатель</x:v>
      </x:c>
      <x:c r="B4" s="8" t="str">
        <x:v>Сумма, ₽</x:v>
      </x:c>
    </x:row>
    <x:row r="5">
      <x:c r="A5" s="9" t="str">
        <x:v>Выигрыш игроков</x:v>
      </x:c>
      <x:c r="B5" s="19" t="n">
        <x:v>-746783.7</x:v>
      </x:c>
    </x:row>
    <x:row r="6">
      <x:c r="A6" s="11" t="str">
        <x:v>Комиссия (рейк)</x:v>
      </x:c>
      <x:c r="B6" s="20" t="n">
        <x:v>724837.89</x:v>
      </x:c>
    </x:row>
    <x:row r="7">
      <x:c r="A7" s="11" t="str">
        <x:v>Баланс (приложение)</x:v>
      </x:c>
      <x:c r="B7" s="20" t="n">
        <x:f>B5+B6</x:f>
        <x:v>-21945.80999999994</x:v>
      </x:c>
    </x:row>
    <x:row r="8">
      <x:c r="A8" s="11" t="str">
        <x:v>ЗП</x:v>
      </x:c>
      <x:c r="B8" s="20" t="n">
        <x:v>-1500</x:v>
      </x:c>
    </x:row>
    <x:row r="9">
      <x:c r="A9" s="11" t="str">
        <x:v>Баланс итог</x:v>
      </x:c>
      <x:c r="B9" s="20" t="n">
        <x:f>B7+B8</x:f>
        <x:v>-23445.80999999994</x:v>
      </x:c>
    </x:row>
    <x:row r="10">
      <x:c r="A10" s="11" t="str">
        <x:v>Обслуживание</x:v>
      </x:c>
      <x:c r="B10" s="22" t="n">
        <x:v>0.08</x:v>
      </x:c>
    </x:row>
    <x:row r="11">
      <x:c r="A11" s="11" t="str">
        <x:v>Обслуживание 8%</x:v>
      </x:c>
      <x:c r="B11" s="20" t="n">
        <x:f>-B6*B10</x:f>
        <x:v>-57987.031200000005</x:v>
      </x:c>
    </x:row>
    <x:row r="12">
      <x:c r="A12" s="11" t="str">
        <x:v>Страховка</x:v>
      </x:c>
      <x:c r="B12" s="20" t="n">
        <x:v>-259</x:v>
      </x:c>
    </x:row>
    <x:row r="13">
      <x:c r="A13" s="17" t="str">
        <x:v>Итого к расчёту</x:v>
      </x:c>
      <x:c r="B13" s="21" t="n">
        <x:f>B9+B11</x:f>
        <x:v>-81432.84119999994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9" hidden="0" customWidth="1"/>
    <x:col min="4" max="4" width="8.670000076293945" hidden="0" customWidth="1"/>
  </x:cols>
  <x:sheetData>
    <x:row r="1">
      <x:c r="A1" s="8" t="str">
        <x:v>Игра</x:v>
      </x:c>
      <x:c r="B1" s="8" t="str">
        <x:v>Выигрыш, ₽</x:v>
      </x:c>
      <x:c r="C1" s="8" t="str">
        <x:v>Игра</x:v>
      </x:c>
      <x:c r="D1" s="8" t="str">
        <x:v>Рейк, ₽</x:v>
      </x:c>
    </x:row>
    <x:row r="2">
      <x:c r="A2" t="str">
        <x:v>NLH</x:v>
      </x:c>
      <x:c r="B2" s="23" t="n">
        <x:v>-401450.29</x:v>
      </x:c>
      <x:c r="C2" t="str">
        <x:v>NLH</x:v>
      </x:c>
      <x:c r="D2" s="23" t="n">
        <x:v>348812.89</x:v>
      </x:c>
    </x:row>
    <x:row r="3">
      <x:c r="A3" t="str">
        <x:v>6+NLH</x:v>
      </x:c>
      <x:c r="B3" s="23" t="n">
        <x:v>11505.29</x:v>
      </x:c>
      <x:c r="C3" t="str">
        <x:v>6+NLH</x:v>
      </x:c>
      <x:c r="D3" s="23" t="n">
        <x:v>1769.41</x:v>
      </x:c>
    </x:row>
    <x:row r="4">
      <x:c r="A4" t="str">
        <x:v>PLO4</x:v>
      </x:c>
      <x:c r="B4" s="23" t="n">
        <x:v>-4001.13</x:v>
      </x:c>
      <x:c r="C4" t="str">
        <x:v>PLO4</x:v>
      </x:c>
      <x:c r="D4" s="23" t="n">
        <x:v>1913.44</x:v>
      </x:c>
    </x:row>
    <x:row r="5">
      <x:c r="A5" t="str">
        <x:v>PLO5</x:v>
      </x:c>
      <x:c r="B5" s="23" t="n">
        <x:v>-14975.96</x:v>
      </x:c>
      <x:c r="C5" t="str">
        <x:v>PLO5</x:v>
      </x:c>
      <x:c r="D5" s="23" t="n">
        <x:v>7491.4</x:v>
      </x:c>
    </x:row>
    <x:row r="6">
      <x:c r="A6" t="str">
        <x:v>PLO6</x:v>
      </x:c>
      <x:c r="B6" s="23" t="n">
        <x:v>-122585.08</x:v>
      </x:c>
      <x:c r="C6" t="str">
        <x:v>PLO6</x:v>
      </x:c>
      <x:c r="D6" s="23" t="n">
        <x:v>130891.11</x:v>
      </x:c>
    </x:row>
    <x:row r="7">
      <x:c r="A7" t="str">
        <x:v>Durak</x:v>
      </x:c>
      <x:c r="B7" s="23" t="n">
        <x:v>-1790.5</x:v>
      </x:c>
      <x:c r="C7" t="str">
        <x:v>Durak</x:v>
      </x:c>
      <x:c r="D7" s="23" t="n">
        <x:v>933</x:v>
      </x:c>
    </x:row>
    <x:row r="8">
      <x:c r="A8" t="str">
        <x:v>TweneyOne</x:v>
      </x:c>
      <x:c r="B8" s="23" t="n">
        <x:v>-25816.4</x:v>
      </x:c>
      <x:c r="C8" t="str">
        <x:v>TweneyOne</x:v>
      </x:c>
      <x:c r="D8" s="23" t="n">
        <x:v>12054.93</x:v>
      </x:c>
    </x:row>
    <x:row r="9">
      <x:c r="A9" t="str">
        <x:v>NLH 3-1</x:v>
      </x:c>
      <x:c r="B9" s="23" t="n">
        <x:v>-199348.65</x:v>
      </x:c>
      <x:c r="C9" t="str">
        <x:v>NLH 3-1</x:v>
      </x:c>
      <x:c r="D9" s="23" t="n">
        <x:v>40357.01</x:v>
      </x:c>
    </x:row>
    <x:row r="10">
      <x:c r="A10" t="str">
        <x:v>MTT-NLH</x:v>
      </x:c>
      <x:c r="B10" s="23" t="n">
        <x:v>16959.02</x:v>
      </x:c>
      <x:c r="C10" t="str">
        <x:v>MTT-NLH</x:v>
      </x:c>
      <x:c r="D10" s="23" t="n">
        <x:v>172549.7</x:v>
      </x:c>
    </x:row>
    <x:row r="11">
      <x:c r="A11" t="str">
        <x:v>MTT-PLO6</x:v>
      </x:c>
      <x:c r="B11" s="23" t="n">
        <x:v>-2190</x:v>
      </x:c>
      <x:c r="C11" t="str">
        <x:v>MTT-PLO6</x:v>
      </x:c>
      <x:c r="D11" s="23" t="n">
        <x:v>1050</x:v>
      </x:c>
    </x:row>
    <x:row r="12">
      <x:c r="A12" t="str">
        <x:v>MTT-Durak</x:v>
      </x:c>
      <x:c r="B12" s="23" t="n">
        <x:v>3035</x:v>
      </x:c>
      <x:c r="C12" t="str">
        <x:v>MTT-Durak</x:v>
      </x:c>
      <x:c r="D12" s="23" t="n">
        <x:v>5</x:v>
      </x:c>
    </x:row>
    <x:row r="13">
      <x:c r="A13" t="str">
        <x:v>SNG-NLH</x:v>
      </x:c>
      <x:c r="B13" s="23" t="n">
        <x:v>-6125</x:v>
      </x:c>
      <x:c r="C13" t="str">
        <x:v>SNG-NLH</x:v>
      </x:c>
      <x:c r="D13" s="23" t="n">
        <x:v>7010</x:v>
      </x:c>
    </x:row>
  </x:sheetData>
  <x:pageMargins left="0.7" right="0.7" top="0.75" bottom="0.75" header="0.3" footer="0.3"/>
</x:worksheet>
</file>